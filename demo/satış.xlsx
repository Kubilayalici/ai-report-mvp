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e9d16a775097ce/"/>
    </mc:Choice>
  </mc:AlternateContent>
  <xr:revisionPtr revIDLastSave="0" documentId="8_{966D7231-8545-4903-B4A9-BCBE73A2A0FB}" xr6:coauthVersionLast="47" xr6:coauthVersionMax="47" xr10:uidLastSave="{00000000-0000-0000-0000-000000000000}"/>
  <bookViews>
    <workbookView xWindow="-108" yWindow="-108" windowWidth="23256" windowHeight="12456" xr2:uid="{A5F8AEBD-31F7-4B5D-BF5C-790E7E7F2DC5}"/>
  </bookViews>
  <sheets>
    <sheet name="Sayfa1" sheetId="1" r:id="rId1"/>
  </sheets>
  <externalReferences>
    <externalReference r:id="rId2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C9" i="1"/>
  <c r="B9" i="1"/>
  <c r="F8" i="1"/>
  <c r="D8" i="1"/>
  <c r="C8" i="1"/>
  <c r="B8" i="1"/>
  <c r="F7" i="1"/>
  <c r="D7" i="1"/>
  <c r="C7" i="1"/>
  <c r="B7" i="1"/>
  <c r="F6" i="1"/>
  <c r="D6" i="1"/>
  <c r="C6" i="1"/>
  <c r="B6" i="1"/>
  <c r="F5" i="1"/>
  <c r="D5" i="1"/>
  <c r="C5" i="1"/>
  <c r="B5" i="1"/>
  <c r="F4" i="1"/>
  <c r="D4" i="1"/>
  <c r="C4" i="1"/>
  <c r="B4" i="1"/>
  <c r="F3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<sst xmlns="http://schemas.openxmlformats.org/spreadsheetml/2006/main" count="15" uniqueCount="15">
  <si>
    <t>ITEM NO</t>
  </si>
  <si>
    <t>ITEM NAME</t>
  </si>
  <si>
    <t>ITEM DESCRIPTION</t>
  </si>
  <si>
    <t>PRICE</t>
  </si>
  <si>
    <t>QTY</t>
  </si>
  <si>
    <t>AMOUNT</t>
  </si>
  <si>
    <t>TAX RATE</t>
  </si>
  <si>
    <t>A123</t>
  </si>
  <si>
    <t>B123</t>
  </si>
  <si>
    <t>C123</t>
  </si>
  <si>
    <t>D123</t>
  </si>
  <si>
    <t>E123</t>
  </si>
  <si>
    <t>F123</t>
  </si>
  <si>
    <t>G123</t>
  </si>
  <si>
    <t>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</si>
</sst>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charset val="162"/>
      <scheme val="minor"/>
    </font>
    <font>
      <sz val="11"/>
      <name val="Century Gothic"/>
      <family val="1"/>
    </font>
    <font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EAEEF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6e9d16a775097ce/Masa&#252;st&#252;/IC-Basic-Daily-Sales-Report-11538.xlsx" TargetMode="External"/><Relationship Id="rId1" Type="http://schemas.openxmlformats.org/officeDocument/2006/relationships/externalLinkPath" Target="Masa&#252;st&#252;/IC-Basic-Daily-Sales-Report-115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AMPLE Daily Sales Report"/>
      <sheetName val="BLANK - Daily Sales Report"/>
      <sheetName val="Inventory Lis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6501-C5B9-45D2-8C2C-A560337CA036}">
  <dimension ref="A1:G9"/>
  <sheetViews>
    <sheetView tabSelected="1" workbookViewId="0">
      <selection activeCell="F13" sqref="F13"/>
    </sheetView>
  </sheetViews>
  <sheetFormatPr defaultRowHeight="14.4" x14ac:dyDescent="0.3"/>
  <cols>
    <col min="1" max="1" width="10.21875" bestFit="1" customWidth="1"/>
    <col min="2" max="2" width="13.21875" bestFit="1" customWidth="1"/>
    <col min="3" max="3" width="20.109375" bestFit="1" customWidth="1"/>
    <col min="6" max="6" width="10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 t="s">
        <v>7</v>
      </c>
      <c r="B2" s="4" t="str">
        <f>IFERROR(VLOOKUP(A2,[1]!InventoryList[#Data],2,0),"–")</f>
        <v>ITEM A</v>
      </c>
      <c r="C2" s="4" t="str">
        <f>IFERROR(VLOOKUP(A2,[1]!InventoryList[#Data],3,0),"–")</f>
        <v>Item A description</v>
      </c>
      <c r="D2" s="5">
        <f>IFERROR(VLOOKUP(A2,[1]!InventoryList[#Data],4,0),"–")</f>
        <v>10</v>
      </c>
      <c r="E2" s="4">
        <v>20</v>
      </c>
      <c r="F2" s="5"/>
      <c r="G2" s="6">
        <v>0.15</v>
      </c>
    </row>
    <row r="3" spans="1:7" x14ac:dyDescent="0.3">
      <c r="A3" s="7" t="s">
        <v>8</v>
      </c>
      <c r="B3" s="7" t="str">
        <f>IFERROR(VLOOKUP(A3,[1]!InventoryList[#Data],2,0),"–")</f>
        <v>ITEM B</v>
      </c>
      <c r="C3" s="7" t="str">
        <f>IFERROR(VLOOKUP(A3,[1]!InventoryList[#Data],3,0),"–")</f>
        <v>Item B description</v>
      </c>
      <c r="D3" s="8">
        <f>IFERROR(VLOOKUP(A3,[1]!InventoryList[#Data],4,0),"–")</f>
        <v>20</v>
      </c>
      <c r="E3" s="7">
        <v>10</v>
      </c>
      <c r="F3" s="8" t="str">
        <f>IFERROR([1]!Table1[[#This Row],[PRICE]]*[1]!Table1[[#This Row],[QTY]],"")</f>
        <v/>
      </c>
      <c r="G3" s="9">
        <v>0.15</v>
      </c>
    </row>
    <row r="4" spans="1:7" x14ac:dyDescent="0.3">
      <c r="A4" s="4" t="s">
        <v>9</v>
      </c>
      <c r="B4" s="4" t="str">
        <f>IFERROR(VLOOKUP(A4,[1]!InventoryList[#Data],2,0),"–")</f>
        <v>ITEM C</v>
      </c>
      <c r="C4" s="4" t="str">
        <f>IFERROR(VLOOKUP(A4,[1]!InventoryList[#Data],3,0),"–")</f>
        <v>Item C description</v>
      </c>
      <c r="D4" s="5">
        <f>IFERROR(VLOOKUP(A4,[1]!InventoryList[#Data],4,0),"–")</f>
        <v>30</v>
      </c>
      <c r="E4" s="4">
        <v>5</v>
      </c>
      <c r="F4" s="5" t="str">
        <f>IFERROR([1]!Table1[[#This Row],[PRICE]]*[1]!Table1[[#This Row],[QTY]],"")</f>
        <v/>
      </c>
      <c r="G4" s="6">
        <v>0.15</v>
      </c>
    </row>
    <row r="5" spans="1:7" x14ac:dyDescent="0.3">
      <c r="A5" s="7" t="s">
        <v>10</v>
      </c>
      <c r="B5" s="7" t="str">
        <f>IFERROR(VLOOKUP(A5,[1]!InventoryList[#Data],2,0),"–")</f>
        <v>ITEM D</v>
      </c>
      <c r="C5" s="7" t="str">
        <f>IFERROR(VLOOKUP(A5,[1]!InventoryList[#Data],3,0),"–")</f>
        <v>Item D description</v>
      </c>
      <c r="D5" s="8">
        <f>IFERROR(VLOOKUP(A5,[1]!InventoryList[#Data],4,0),"–")</f>
        <v>10</v>
      </c>
      <c r="E5" s="7">
        <v>40</v>
      </c>
      <c r="F5" s="8" t="str">
        <f>IFERROR([1]!Table1[[#This Row],[PRICE]]*[1]!Table1[[#This Row],[QTY]],"")</f>
        <v/>
      </c>
      <c r="G5" s="9">
        <v>0</v>
      </c>
    </row>
    <row r="6" spans="1:7" x14ac:dyDescent="0.3">
      <c r="A6" s="4" t="s">
        <v>11</v>
      </c>
      <c r="B6" s="4" t="str">
        <f>IFERROR(VLOOKUP(A6,[1]!InventoryList[#Data],2,0),"–")</f>
        <v>ITEM E</v>
      </c>
      <c r="C6" s="4" t="str">
        <f>IFERROR(VLOOKUP(A6,[1]!InventoryList[#Data],3,0),"–")</f>
        <v>Item E description</v>
      </c>
      <c r="D6" s="5">
        <f>IFERROR(VLOOKUP(A6,[1]!InventoryList[#Data],4,0),"–")</f>
        <v>20</v>
      </c>
      <c r="E6" s="4">
        <v>25</v>
      </c>
      <c r="F6" s="5" t="str">
        <f>IFERROR([1]!Table1[[#This Row],[PRICE]]*[1]!Table1[[#This Row],[QTY]],"")</f>
        <v/>
      </c>
      <c r="G6" s="6">
        <v>0.15</v>
      </c>
    </row>
    <row r="7" spans="1:7" x14ac:dyDescent="0.3">
      <c r="A7" s="7" t="s">
        <v>12</v>
      </c>
      <c r="B7" s="7" t="str">
        <f>IFERROR(VLOOKUP(A7,[1]!InventoryList[#Data],2,0),"–")</f>
        <v>ITEM F</v>
      </c>
      <c r="C7" s="7" t="str">
        <f>IFERROR(VLOOKUP(A7,[1]!InventoryList[#Data],3,0),"–")</f>
        <v>Item F description</v>
      </c>
      <c r="D7" s="8">
        <f>IFERROR(VLOOKUP(A7,[1]!InventoryList[#Data],4,0),"–")</f>
        <v>30</v>
      </c>
      <c r="E7" s="7">
        <v>50</v>
      </c>
      <c r="F7" s="8" t="str">
        <f>IFERROR([1]!Table1[[#This Row],[PRICE]]*[1]!Table1[[#This Row],[QTY]],"")</f>
        <v/>
      </c>
      <c r="G7" s="9">
        <v>0</v>
      </c>
    </row>
    <row r="8" spans="1:7" x14ac:dyDescent="0.3">
      <c r="A8" s="4" t="s">
        <v>13</v>
      </c>
      <c r="B8" s="4" t="str">
        <f>IFERROR(VLOOKUP(A8,[1]!InventoryList[#Data],2,0),"–")</f>
        <v>ITEM G</v>
      </c>
      <c r="C8" s="4" t="str">
        <f>IFERROR(VLOOKUP(A8,[1]!InventoryList[#Data],3,0),"–")</f>
        <v>Item G description</v>
      </c>
      <c r="D8" s="5">
        <f>IFERROR(VLOOKUP(A8,[1]!InventoryList[#Data],4,0),"–")</f>
        <v>10</v>
      </c>
      <c r="E8" s="4">
        <v>20</v>
      </c>
      <c r="F8" s="5" t="str">
        <f>IFERROR([1]!Table1[[#This Row],[PRICE]]*[1]!Table1[[#This Row],[QTY]],"")</f>
        <v/>
      </c>
      <c r="G8" s="6">
        <v>0.15</v>
      </c>
    </row>
    <row r="9" spans="1:7" x14ac:dyDescent="0.3">
      <c r="A9" s="7" t="s">
        <v>14</v>
      </c>
      <c r="B9" s="7" t="str">
        <f>IFERROR(VLOOKUP(A9,[1]!InventoryList[#Data],2,0),"–")</f>
        <v>ITEM H</v>
      </c>
      <c r="C9" s="7" t="str">
        <f>IFERROR(VLOOKUP(A9,[1]!InventoryList[#Data],3,0),"–")</f>
        <v>Item H description</v>
      </c>
      <c r="D9" s="8">
        <f>IFERROR(VLOOKUP(A9,[1]!InventoryList[#Data],4,0),"–")</f>
        <v>20</v>
      </c>
      <c r="E9" s="7">
        <v>30</v>
      </c>
      <c r="F9" s="8"/>
      <c r="G9" s="9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 ALICI</dc:creator>
  <cp:lastModifiedBy>Kubilay ALICI</cp:lastModifiedBy>
  <dcterms:created xsi:type="dcterms:W3CDTF">2026-02-05T22:52:51Z</dcterms:created>
  <dcterms:modified xsi:type="dcterms:W3CDTF">2026-02-05T22:54:43Z</dcterms:modified>
</cp:coreProperties>
</file>